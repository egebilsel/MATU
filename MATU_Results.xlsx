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tarikegebilsel/Desktop/Dev/mit/exps/uncertainty/MATU/"/>
    </mc:Choice>
  </mc:AlternateContent>
  <xr:revisionPtr revIDLastSave="0" documentId="13_ncr:1_{50120B84-BE72-D94D-8A45-D2D06447782A}" xr6:coauthVersionLast="47" xr6:coauthVersionMax="47" xr10:uidLastSave="{00000000-0000-0000-0000-000000000000}"/>
  <bookViews>
    <workbookView xWindow="0" yWindow="660" windowWidth="30240" windowHeight="17360" xr2:uid="{00000000-000D-0000-FFFF-FFFF00000000}"/>
  </bookViews>
  <sheets>
    <sheet name="Summary" sheetId="1" r:id="rId1"/>
    <sheet name="Comparis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" i="1"/>
</calcChain>
</file>

<file path=xl/sharedStrings.xml><?xml version="1.0" encoding="utf-8"?>
<sst xmlns="http://schemas.openxmlformats.org/spreadsheetml/2006/main" count="117" uniqueCount="53">
  <si>
    <t>Deney</t>
  </si>
  <si>
    <t>Safe%</t>
  </si>
  <si>
    <t>#Safe</t>
  </si>
  <si>
    <t>#Unsafe</t>
  </si>
  <si>
    <t>Mean Unc</t>
  </si>
  <si>
    <t>Median Unc</t>
  </si>
  <si>
    <t>Safe Unc</t>
  </si>
  <si>
    <t>Unsafe Unc</t>
  </si>
  <si>
    <t>AUROC</t>
  </si>
  <si>
    <t>AUARC</t>
  </si>
  <si>
    <t>Gap</t>
  </si>
  <si>
    <t>3B-Instruct (Base)</t>
  </si>
  <si>
    <t>88.0%</t>
  </si>
  <si>
    <t>AZR-Coder-3b (Evolved)</t>
  </si>
  <si>
    <t>56.4%</t>
  </si>
  <si>
    <t>7B-Instruct (Base)</t>
  </si>
  <si>
    <t>96.9%</t>
  </si>
  <si>
    <t>AZR-Coder-7b (Evolved)</t>
  </si>
  <si>
    <t>65.6%</t>
  </si>
  <si>
    <t>14B-Instruct (Base)</t>
  </si>
  <si>
    <t>99.6%</t>
  </si>
  <si>
    <t>AZR-Coder-14b (Evolved)</t>
  </si>
  <si>
    <t>60.2%</t>
  </si>
  <si>
    <t>Qwen2.5-7B-Instruct (Base, Non-Coder)</t>
  </si>
  <si>
    <t>89.9%</t>
  </si>
  <si>
    <t>AZR-Base-7b (Evolved, Non-Coder)</t>
  </si>
  <si>
    <t>71.6%</t>
  </si>
  <si>
    <t>3B Base</t>
  </si>
  <si>
    <t>3B Evolved</t>
  </si>
  <si>
    <t>Model Çifti</t>
  </si>
  <si>
    <t>Safe Rate B</t>
  </si>
  <si>
    <t>Safe Rate E</t>
  </si>
  <si>
    <t>ΔSafe</t>
  </si>
  <si>
    <t>AUROC B</t>
  </si>
  <si>
    <t>AUROC E</t>
  </si>
  <si>
    <t>ΔAUROC</t>
  </si>
  <si>
    <t>Gap B</t>
  </si>
  <si>
    <t>Gap E</t>
  </si>
  <si>
    <t>3B Coder (Default)</t>
  </si>
  <si>
    <t>7B Coder (Default)</t>
  </si>
  <si>
    <t>14B Coder (Default)</t>
  </si>
  <si>
    <t>7B Non-Coder (Default)</t>
  </si>
  <si>
    <t>3B Cleaned</t>
  </si>
  <si>
    <t>3B Embedding (4B)</t>
  </si>
  <si>
    <t>3B Rank 30</t>
  </si>
  <si>
    <t>3B Assistant Only</t>
  </si>
  <si>
    <t>3B User Only</t>
  </si>
  <si>
    <t>3B Time (Exp)</t>
  </si>
  <si>
    <t>3B Time (Linear)</t>
  </si>
  <si>
    <t>3B Time (Cutoff)</t>
  </si>
  <si>
    <t>3B Time (Sigmoid)</t>
  </si>
  <si>
    <t>3B Time (Log)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</si>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</sst>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"/>
  <sheetViews>
    <sheetView tabSelected="1" workbookViewId="0">
      <selection activeCell="H6" sqref="H6"/>
    </sheetView>
  </sheetViews>
  <sheetFormatPr baseColWidth="10" defaultColWidth="8.83203125" defaultRowHeight="15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3" x14ac:dyDescent="0.2">
      <c r="A2" t="s">
        <v>11</v>
      </c>
      <c r="B2" t="s">
        <v>12</v>
      </c>
      <c r="C2">
        <v>93</v>
      </c>
      <c r="D2">
        <v>7</v>
      </c>
      <c r="E2">
        <v>4.5354999999999999</v>
      </c>
      <c r="F2">
        <v>4.5902000000000003</v>
      </c>
      <c r="G2">
        <v>4.5603999999999996</v>
      </c>
      <c r="H2">
        <v>4.2055999999999996</v>
      </c>
      <c r="I2">
        <v>0.42199999999999999</v>
      </c>
      <c r="J2">
        <v>0.8236</v>
      </c>
      <c r="K2">
        <v>-0.3548</v>
      </c>
      <c r="M2">
        <f>C2/100</f>
        <v>0.93</v>
      </c>
    </row>
    <row r="3" spans="1:13" x14ac:dyDescent="0.2">
      <c r="A3" t="s">
        <v>13</v>
      </c>
      <c r="B3" t="s">
        <v>14</v>
      </c>
      <c r="C3">
        <v>60</v>
      </c>
      <c r="D3">
        <v>40</v>
      </c>
      <c r="E3">
        <v>4.1551999999999998</v>
      </c>
      <c r="F3">
        <v>4.1292</v>
      </c>
      <c r="G3">
        <v>4.4120999999999997</v>
      </c>
      <c r="H3">
        <v>3.7698999999999998</v>
      </c>
      <c r="I3">
        <v>0.17330000000000001</v>
      </c>
      <c r="J3">
        <v>0.38500000000000001</v>
      </c>
      <c r="K3">
        <v>-0.64219999999999999</v>
      </c>
      <c r="M3">
        <f t="shared" ref="M3:M28" si="0">C3/100</f>
        <v>0.6</v>
      </c>
    </row>
    <row r="4" spans="1:13" x14ac:dyDescent="0.2">
      <c r="A4" t="s">
        <v>15</v>
      </c>
      <c r="B4" t="s">
        <v>16</v>
      </c>
      <c r="C4">
        <v>99</v>
      </c>
      <c r="D4">
        <v>1</v>
      </c>
      <c r="E4">
        <v>3.7635999999999998</v>
      </c>
      <c r="F4">
        <v>4.0708000000000002</v>
      </c>
      <c r="G4">
        <v>3.7566999999999999</v>
      </c>
      <c r="H4">
        <v>4.4452999999999996</v>
      </c>
      <c r="I4">
        <v>0.78069999999999995</v>
      </c>
      <c r="J4">
        <v>0.98109999999999997</v>
      </c>
      <c r="K4">
        <v>0.68859999999999999</v>
      </c>
      <c r="M4">
        <f t="shared" si="0"/>
        <v>0.99</v>
      </c>
    </row>
    <row r="5" spans="1:13" x14ac:dyDescent="0.2">
      <c r="A5" t="s">
        <v>17</v>
      </c>
      <c r="B5" t="s">
        <v>18</v>
      </c>
      <c r="C5">
        <v>73</v>
      </c>
      <c r="D5">
        <v>27</v>
      </c>
      <c r="E5">
        <v>4.1723999999999997</v>
      </c>
      <c r="F5">
        <v>4.1848999999999998</v>
      </c>
      <c r="G5">
        <v>4.3487</v>
      </c>
      <c r="H5">
        <v>3.6958000000000002</v>
      </c>
      <c r="I5">
        <v>0.33069999999999999</v>
      </c>
      <c r="J5">
        <v>0.47839999999999999</v>
      </c>
      <c r="K5">
        <v>-0.65290000000000004</v>
      </c>
      <c r="M5">
        <f t="shared" si="0"/>
        <v>0.73</v>
      </c>
    </row>
    <row r="6" spans="1:13" x14ac:dyDescent="0.2">
      <c r="A6" t="s">
        <v>19</v>
      </c>
      <c r="B6" t="s">
        <v>20</v>
      </c>
      <c r="C6">
        <v>100</v>
      </c>
      <c r="D6">
        <v>0</v>
      </c>
      <c r="E6">
        <v>3.8098000000000001</v>
      </c>
      <c r="F6">
        <v>4.0099</v>
      </c>
      <c r="G6">
        <v>3.8098000000000001</v>
      </c>
      <c r="H6" t="s">
        <v>52</v>
      </c>
      <c r="I6">
        <v>0.71089999999999998</v>
      </c>
      <c r="J6">
        <v>0.98839999999999995</v>
      </c>
      <c r="M6">
        <f t="shared" si="0"/>
        <v>1</v>
      </c>
    </row>
    <row r="7" spans="1:13" x14ac:dyDescent="0.2">
      <c r="A7" t="s">
        <v>21</v>
      </c>
      <c r="B7" t="s">
        <v>22</v>
      </c>
      <c r="C7">
        <v>64</v>
      </c>
      <c r="D7">
        <v>36</v>
      </c>
      <c r="E7">
        <v>4.0564</v>
      </c>
      <c r="F7">
        <v>3.97</v>
      </c>
      <c r="G7">
        <v>4.2198000000000002</v>
      </c>
      <c r="H7">
        <v>3.7658</v>
      </c>
      <c r="I7">
        <v>0.25600000000000001</v>
      </c>
      <c r="J7">
        <v>0.44379999999999997</v>
      </c>
      <c r="K7">
        <v>-0.45400000000000001</v>
      </c>
      <c r="M7">
        <f t="shared" si="0"/>
        <v>0.64</v>
      </c>
    </row>
    <row r="8" spans="1:13" x14ac:dyDescent="0.2">
      <c r="A8" t="s">
        <v>23</v>
      </c>
      <c r="B8" t="s">
        <v>24</v>
      </c>
      <c r="C8">
        <v>94</v>
      </c>
      <c r="D8">
        <v>6</v>
      </c>
      <c r="E8">
        <v>4.133</v>
      </c>
      <c r="F8">
        <v>4.0998000000000001</v>
      </c>
      <c r="G8">
        <v>4.1722000000000001</v>
      </c>
      <c r="H8">
        <v>3.5181</v>
      </c>
      <c r="I8">
        <v>0.32629999999999998</v>
      </c>
      <c r="J8">
        <v>0.7974</v>
      </c>
      <c r="K8">
        <v>-0.6542</v>
      </c>
      <c r="M8">
        <f t="shared" si="0"/>
        <v>0.94</v>
      </c>
    </row>
    <row r="9" spans="1:13" x14ac:dyDescent="0.2">
      <c r="A9" t="s">
        <v>25</v>
      </c>
      <c r="B9" t="s">
        <v>26</v>
      </c>
      <c r="C9">
        <v>77</v>
      </c>
      <c r="D9">
        <v>23</v>
      </c>
      <c r="E9">
        <v>4.1971999999999996</v>
      </c>
      <c r="F9">
        <v>4.1963999999999997</v>
      </c>
      <c r="G9">
        <v>4.3137999999999996</v>
      </c>
      <c r="H9">
        <v>3.8067000000000002</v>
      </c>
      <c r="I9">
        <v>0.33660000000000001</v>
      </c>
      <c r="J9">
        <v>0.58130000000000004</v>
      </c>
      <c r="K9">
        <v>-0.50719999999999998</v>
      </c>
      <c r="M9">
        <f t="shared" si="0"/>
        <v>0.77</v>
      </c>
    </row>
    <row r="10" spans="1:13" x14ac:dyDescent="0.2">
      <c r="A10" t="s">
        <v>27</v>
      </c>
      <c r="B10" t="s">
        <v>12</v>
      </c>
      <c r="C10">
        <v>93</v>
      </c>
      <c r="D10">
        <v>7</v>
      </c>
      <c r="E10">
        <v>4.6973000000000003</v>
      </c>
      <c r="F10">
        <v>4.7206000000000001</v>
      </c>
      <c r="G10">
        <v>4.7103000000000002</v>
      </c>
      <c r="H10">
        <v>4.5250000000000004</v>
      </c>
      <c r="I10">
        <v>0.4667</v>
      </c>
      <c r="J10">
        <v>0.85019999999999996</v>
      </c>
      <c r="K10">
        <v>-0.18529999999999999</v>
      </c>
      <c r="M10">
        <f t="shared" si="0"/>
        <v>0.93</v>
      </c>
    </row>
    <row r="11" spans="1:13" x14ac:dyDescent="0.2">
      <c r="A11" t="s">
        <v>28</v>
      </c>
      <c r="B11" t="s">
        <v>14</v>
      </c>
      <c r="C11">
        <v>60</v>
      </c>
      <c r="D11">
        <v>40</v>
      </c>
      <c r="E11">
        <v>4.5407000000000002</v>
      </c>
      <c r="F11">
        <v>4.5370999999999997</v>
      </c>
      <c r="G11">
        <v>4.6797000000000004</v>
      </c>
      <c r="H11">
        <v>4.3319999999999999</v>
      </c>
      <c r="I11">
        <v>0.20949999999999999</v>
      </c>
      <c r="J11">
        <v>0.46660000000000001</v>
      </c>
      <c r="K11">
        <v>-0.34770000000000001</v>
      </c>
      <c r="M11">
        <f t="shared" si="0"/>
        <v>0.6</v>
      </c>
    </row>
    <row r="12" spans="1:13" x14ac:dyDescent="0.2">
      <c r="A12" t="s">
        <v>27</v>
      </c>
      <c r="B12" t="s">
        <v>12</v>
      </c>
      <c r="C12">
        <v>93</v>
      </c>
      <c r="D12">
        <v>7</v>
      </c>
      <c r="E12">
        <v>4.3078000000000003</v>
      </c>
      <c r="F12">
        <v>4.3384999999999998</v>
      </c>
      <c r="G12">
        <v>4.3272000000000004</v>
      </c>
      <c r="H12">
        <v>4.0495999999999999</v>
      </c>
      <c r="I12">
        <v>0.42530000000000001</v>
      </c>
      <c r="J12">
        <v>0.85450000000000004</v>
      </c>
      <c r="K12">
        <v>-0.27760000000000001</v>
      </c>
      <c r="M12">
        <f t="shared" si="0"/>
        <v>0.93</v>
      </c>
    </row>
    <row r="13" spans="1:13" x14ac:dyDescent="0.2">
      <c r="A13" t="s">
        <v>28</v>
      </c>
      <c r="B13" t="s">
        <v>14</v>
      </c>
      <c r="C13">
        <v>60</v>
      </c>
      <c r="D13">
        <v>40</v>
      </c>
      <c r="E13">
        <v>4.2388000000000003</v>
      </c>
      <c r="F13">
        <v>4.2080000000000002</v>
      </c>
      <c r="G13">
        <v>4.4983000000000004</v>
      </c>
      <c r="H13">
        <v>3.8496000000000001</v>
      </c>
      <c r="I13">
        <v>0.10340000000000001</v>
      </c>
      <c r="J13">
        <v>0.3639</v>
      </c>
      <c r="K13">
        <v>-0.64870000000000005</v>
      </c>
      <c r="M13">
        <f t="shared" si="0"/>
        <v>0.6</v>
      </c>
    </row>
    <row r="14" spans="1:13" x14ac:dyDescent="0.2">
      <c r="A14" t="s">
        <v>27</v>
      </c>
      <c r="B14" t="s">
        <v>12</v>
      </c>
      <c r="C14">
        <v>93</v>
      </c>
      <c r="D14">
        <v>7</v>
      </c>
      <c r="E14">
        <v>4.4682000000000004</v>
      </c>
      <c r="F14">
        <v>4.4877000000000002</v>
      </c>
      <c r="G14">
        <v>4.4932999999999996</v>
      </c>
      <c r="H14">
        <v>4.1345999999999998</v>
      </c>
      <c r="I14">
        <v>0.42859999999999998</v>
      </c>
      <c r="J14">
        <v>0.82440000000000002</v>
      </c>
      <c r="K14">
        <v>-0.35870000000000002</v>
      </c>
      <c r="M14">
        <f t="shared" si="0"/>
        <v>0.93</v>
      </c>
    </row>
    <row r="15" spans="1:13" x14ac:dyDescent="0.2">
      <c r="A15" t="s">
        <v>28</v>
      </c>
      <c r="B15" t="s">
        <v>14</v>
      </c>
      <c r="C15">
        <v>60</v>
      </c>
      <c r="D15">
        <v>40</v>
      </c>
      <c r="E15">
        <v>4.1012000000000004</v>
      </c>
      <c r="F15">
        <v>4.1050000000000004</v>
      </c>
      <c r="G15">
        <v>4.3648999999999996</v>
      </c>
      <c r="H15">
        <v>3.7056</v>
      </c>
      <c r="I15">
        <v>0.18210000000000001</v>
      </c>
      <c r="J15">
        <v>0.38080000000000003</v>
      </c>
      <c r="K15">
        <v>-0.65920000000000001</v>
      </c>
      <c r="M15">
        <f t="shared" si="0"/>
        <v>0.6</v>
      </c>
    </row>
    <row r="16" spans="1:13" x14ac:dyDescent="0.2">
      <c r="A16" t="s">
        <v>27</v>
      </c>
      <c r="B16" t="s">
        <v>12</v>
      </c>
      <c r="C16">
        <v>93</v>
      </c>
      <c r="D16">
        <v>7</v>
      </c>
      <c r="E16">
        <v>4.8422000000000001</v>
      </c>
      <c r="F16">
        <v>4.9545000000000003</v>
      </c>
      <c r="G16">
        <v>4.8486000000000002</v>
      </c>
      <c r="H16">
        <v>4.7565999999999997</v>
      </c>
      <c r="I16">
        <v>0.50529999999999997</v>
      </c>
      <c r="J16">
        <v>0.85570000000000002</v>
      </c>
      <c r="K16">
        <v>-9.1999999999999998E-2</v>
      </c>
      <c r="M16">
        <f t="shared" si="0"/>
        <v>0.93</v>
      </c>
    </row>
    <row r="17" spans="1:13" x14ac:dyDescent="0.2">
      <c r="A17" t="s">
        <v>28</v>
      </c>
      <c r="B17" t="s">
        <v>14</v>
      </c>
      <c r="C17">
        <v>60</v>
      </c>
      <c r="D17">
        <v>40</v>
      </c>
      <c r="E17">
        <v>4.3929</v>
      </c>
      <c r="F17">
        <v>4.4172000000000002</v>
      </c>
      <c r="G17">
        <v>4.5858999999999996</v>
      </c>
      <c r="H17">
        <v>4.1033999999999997</v>
      </c>
      <c r="I17">
        <v>0.30149999999999999</v>
      </c>
      <c r="J17">
        <v>0.43859999999999999</v>
      </c>
      <c r="K17">
        <v>-0.48259999999999997</v>
      </c>
      <c r="M17">
        <f t="shared" si="0"/>
        <v>0.6</v>
      </c>
    </row>
    <row r="18" spans="1:13" x14ac:dyDescent="0.2">
      <c r="A18" t="s">
        <v>27</v>
      </c>
      <c r="B18" t="s">
        <v>12</v>
      </c>
      <c r="C18">
        <v>93</v>
      </c>
      <c r="D18">
        <v>7</v>
      </c>
      <c r="E18">
        <v>12.8812</v>
      </c>
      <c r="F18">
        <v>12</v>
      </c>
      <c r="G18">
        <v>12.9367</v>
      </c>
      <c r="H18">
        <v>12.142899999999999</v>
      </c>
      <c r="I18">
        <v>0.52459999999999996</v>
      </c>
      <c r="J18">
        <v>0.89970000000000006</v>
      </c>
      <c r="K18">
        <v>-0.79390000000000005</v>
      </c>
      <c r="M18">
        <f t="shared" si="0"/>
        <v>0.93</v>
      </c>
    </row>
    <row r="19" spans="1:13" x14ac:dyDescent="0.2">
      <c r="A19" t="s">
        <v>28</v>
      </c>
      <c r="B19" t="s">
        <v>14</v>
      </c>
      <c r="C19">
        <v>60</v>
      </c>
      <c r="D19">
        <v>40</v>
      </c>
      <c r="E19">
        <v>12.8812</v>
      </c>
      <c r="F19">
        <v>12</v>
      </c>
      <c r="G19">
        <v>11.3667</v>
      </c>
      <c r="H19">
        <v>15.152900000000001</v>
      </c>
      <c r="I19">
        <v>0.43149999999999999</v>
      </c>
      <c r="J19">
        <v>0.58550000000000002</v>
      </c>
      <c r="K19">
        <v>3.7862</v>
      </c>
      <c r="M19">
        <f t="shared" si="0"/>
        <v>0.6</v>
      </c>
    </row>
    <row r="20" spans="1:13" x14ac:dyDescent="0.2">
      <c r="A20" t="s">
        <v>27</v>
      </c>
      <c r="B20" t="s">
        <v>12</v>
      </c>
      <c r="C20">
        <v>93</v>
      </c>
      <c r="D20">
        <v>7</v>
      </c>
      <c r="E20">
        <v>4.5400999999999998</v>
      </c>
      <c r="F20">
        <v>4.5799000000000003</v>
      </c>
      <c r="G20">
        <v>4.5651999999999999</v>
      </c>
      <c r="H20">
        <v>4.2054</v>
      </c>
      <c r="I20">
        <v>0.42159999999999997</v>
      </c>
      <c r="J20">
        <v>0.82310000000000005</v>
      </c>
      <c r="K20">
        <v>-0.3599</v>
      </c>
      <c r="M20">
        <f t="shared" si="0"/>
        <v>0.93</v>
      </c>
    </row>
    <row r="21" spans="1:13" x14ac:dyDescent="0.2">
      <c r="A21" t="s">
        <v>28</v>
      </c>
      <c r="B21" t="s">
        <v>14</v>
      </c>
      <c r="C21">
        <v>60</v>
      </c>
      <c r="D21">
        <v>40</v>
      </c>
      <c r="E21">
        <v>4.1459999999999999</v>
      </c>
      <c r="F21">
        <v>4.1353999999999997</v>
      </c>
      <c r="G21">
        <v>4.4062000000000001</v>
      </c>
      <c r="H21">
        <v>3.7555999999999998</v>
      </c>
      <c r="I21">
        <v>0.1857</v>
      </c>
      <c r="J21">
        <v>0.38279999999999997</v>
      </c>
      <c r="K21">
        <v>-0.65059999999999996</v>
      </c>
      <c r="M21">
        <f t="shared" si="0"/>
        <v>0.6</v>
      </c>
    </row>
    <row r="22" spans="1:13" x14ac:dyDescent="0.2">
      <c r="A22" t="s">
        <v>27</v>
      </c>
      <c r="B22" t="s">
        <v>12</v>
      </c>
      <c r="C22">
        <v>93</v>
      </c>
      <c r="D22">
        <v>7</v>
      </c>
      <c r="E22">
        <v>4.5400999999999998</v>
      </c>
      <c r="F22">
        <v>4.5799000000000003</v>
      </c>
      <c r="G22">
        <v>4.5651999999999999</v>
      </c>
      <c r="H22">
        <v>4.2054</v>
      </c>
      <c r="I22">
        <v>0.42159999999999997</v>
      </c>
      <c r="J22">
        <v>0.82310000000000005</v>
      </c>
      <c r="K22">
        <v>-0.3599</v>
      </c>
      <c r="M22">
        <f t="shared" si="0"/>
        <v>0.93</v>
      </c>
    </row>
    <row r="23" spans="1:13" x14ac:dyDescent="0.2">
      <c r="A23" t="s">
        <v>28</v>
      </c>
      <c r="B23" t="s">
        <v>14</v>
      </c>
      <c r="C23">
        <v>60</v>
      </c>
      <c r="D23">
        <v>40</v>
      </c>
      <c r="E23">
        <v>4.1459999999999999</v>
      </c>
      <c r="F23">
        <v>4.1353999999999997</v>
      </c>
      <c r="G23">
        <v>4.4062000000000001</v>
      </c>
      <c r="H23">
        <v>3.7555999999999998</v>
      </c>
      <c r="I23">
        <v>0.1857</v>
      </c>
      <c r="J23">
        <v>0.38279999999999997</v>
      </c>
      <c r="K23">
        <v>-0.65059999999999996</v>
      </c>
      <c r="M23">
        <f t="shared" si="0"/>
        <v>0.6</v>
      </c>
    </row>
    <row r="24" spans="1:13" x14ac:dyDescent="0.2">
      <c r="A24" t="s">
        <v>27</v>
      </c>
      <c r="B24" t="s">
        <v>12</v>
      </c>
      <c r="C24">
        <v>93</v>
      </c>
      <c r="D24">
        <v>7</v>
      </c>
      <c r="E24">
        <v>4.5354999999999999</v>
      </c>
      <c r="F24">
        <v>4.5902000000000003</v>
      </c>
      <c r="G24">
        <v>4.5603999999999996</v>
      </c>
      <c r="H24">
        <v>4.2055999999999996</v>
      </c>
      <c r="I24">
        <v>0.42199999999999999</v>
      </c>
      <c r="J24">
        <v>0.8236</v>
      </c>
      <c r="K24">
        <v>-0.3548</v>
      </c>
      <c r="M24">
        <f t="shared" si="0"/>
        <v>0.93</v>
      </c>
    </row>
    <row r="25" spans="1:13" x14ac:dyDescent="0.2">
      <c r="A25" t="s">
        <v>28</v>
      </c>
      <c r="B25" t="s">
        <v>14</v>
      </c>
      <c r="C25">
        <v>60</v>
      </c>
      <c r="D25">
        <v>40</v>
      </c>
      <c r="E25">
        <v>4.1551999999999998</v>
      </c>
      <c r="F25">
        <v>4.1292</v>
      </c>
      <c r="G25">
        <v>4.4120999999999997</v>
      </c>
      <c r="H25">
        <v>3.7698999999999998</v>
      </c>
      <c r="I25">
        <v>0.17330000000000001</v>
      </c>
      <c r="J25">
        <v>0.38500000000000001</v>
      </c>
      <c r="K25">
        <v>-0.64219999999999999</v>
      </c>
      <c r="M25">
        <f t="shared" si="0"/>
        <v>0.6</v>
      </c>
    </row>
    <row r="26" spans="1:13" x14ac:dyDescent="0.2">
      <c r="A26" t="s">
        <v>27</v>
      </c>
      <c r="B26" t="s">
        <v>12</v>
      </c>
      <c r="C26">
        <v>93</v>
      </c>
      <c r="D26">
        <v>7</v>
      </c>
      <c r="E26">
        <v>4.5400999999999998</v>
      </c>
      <c r="F26">
        <v>4.5799000000000003</v>
      </c>
      <c r="G26">
        <v>4.5651999999999999</v>
      </c>
      <c r="H26">
        <v>4.2054</v>
      </c>
      <c r="I26">
        <v>0.42159999999999997</v>
      </c>
      <c r="J26">
        <v>0.82310000000000005</v>
      </c>
      <c r="K26">
        <v>-0.3599</v>
      </c>
      <c r="M26">
        <f t="shared" si="0"/>
        <v>0.93</v>
      </c>
    </row>
    <row r="27" spans="1:13" x14ac:dyDescent="0.2">
      <c r="A27" t="s">
        <v>28</v>
      </c>
      <c r="B27" t="s">
        <v>14</v>
      </c>
      <c r="C27">
        <v>60</v>
      </c>
      <c r="D27">
        <v>40</v>
      </c>
      <c r="E27">
        <v>4.1459999999999999</v>
      </c>
      <c r="F27">
        <v>4.1353999999999997</v>
      </c>
      <c r="G27">
        <v>4.4062000000000001</v>
      </c>
      <c r="H27">
        <v>3.7555999999999998</v>
      </c>
      <c r="I27">
        <v>0.1857</v>
      </c>
      <c r="J27">
        <v>0.38279999999999997</v>
      </c>
      <c r="K27">
        <v>-0.65059999999999996</v>
      </c>
      <c r="M27">
        <f t="shared" si="0"/>
        <v>0.6</v>
      </c>
    </row>
    <row r="28" spans="1:13" x14ac:dyDescent="0.2">
      <c r="A28" t="s">
        <v>27</v>
      </c>
      <c r="B28" t="s">
        <v>12</v>
      </c>
      <c r="C28">
        <v>93</v>
      </c>
      <c r="D28">
        <v>7</v>
      </c>
      <c r="E28">
        <v>4.5400999999999998</v>
      </c>
      <c r="F28">
        <v>4.5799000000000003</v>
      </c>
      <c r="G28">
        <v>4.5651999999999999</v>
      </c>
      <c r="H28">
        <v>4.2054</v>
      </c>
      <c r="I28">
        <v>0.42159999999999997</v>
      </c>
      <c r="J28">
        <v>0.82310000000000005</v>
      </c>
      <c r="K28">
        <v>-0.3599</v>
      </c>
      <c r="M28">
        <f t="shared" si="0"/>
        <v>0.93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5"/>
  <sheetViews>
    <sheetView workbookViewId="0"/>
  </sheetViews>
  <sheetFormatPr baseColWidth="10" defaultColWidth="8.83203125" defaultRowHeight="15" x14ac:dyDescent="0.2"/>
  <sheetData>
    <row r="1" spans="1:9" x14ac:dyDescent="0.2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</row>
    <row r="2" spans="1:9" x14ac:dyDescent="0.2">
      <c r="A2" t="s">
        <v>38</v>
      </c>
      <c r="B2" t="s">
        <v>12</v>
      </c>
      <c r="C2" t="s">
        <v>14</v>
      </c>
      <c r="D2">
        <v>-31.6</v>
      </c>
      <c r="E2">
        <v>0.42199999999999999</v>
      </c>
      <c r="F2">
        <v>0.17330000000000001</v>
      </c>
      <c r="G2">
        <v>-0.2487</v>
      </c>
      <c r="H2">
        <v>-0.3548</v>
      </c>
      <c r="I2">
        <v>-0.64219999999999999</v>
      </c>
    </row>
    <row r="3" spans="1:9" x14ac:dyDescent="0.2">
      <c r="A3" t="s">
        <v>39</v>
      </c>
      <c r="B3" t="s">
        <v>16</v>
      </c>
      <c r="C3" t="s">
        <v>18</v>
      </c>
      <c r="D3">
        <v>-31.3</v>
      </c>
      <c r="E3">
        <v>0.78069999999999995</v>
      </c>
      <c r="F3">
        <v>0.33069999999999999</v>
      </c>
      <c r="G3">
        <v>-0.45</v>
      </c>
      <c r="H3">
        <v>0.68859999999999999</v>
      </c>
      <c r="I3">
        <v>-0.65290000000000004</v>
      </c>
    </row>
    <row r="4" spans="1:9" x14ac:dyDescent="0.2">
      <c r="A4" t="s">
        <v>40</v>
      </c>
      <c r="B4" t="s">
        <v>20</v>
      </c>
      <c r="C4" t="s">
        <v>22</v>
      </c>
      <c r="D4">
        <v>-39.4</v>
      </c>
      <c r="E4">
        <v>0.71089999999999998</v>
      </c>
      <c r="F4">
        <v>0.25600000000000001</v>
      </c>
      <c r="G4">
        <v>-0.45490000000000003</v>
      </c>
      <c r="I4">
        <v>-0.45400000000000001</v>
      </c>
    </row>
    <row r="5" spans="1:9" x14ac:dyDescent="0.2">
      <c r="A5" t="s">
        <v>41</v>
      </c>
      <c r="B5" t="s">
        <v>24</v>
      </c>
      <c r="C5" t="s">
        <v>26</v>
      </c>
      <c r="D5">
        <v>-18.3</v>
      </c>
      <c r="E5">
        <v>0.32629999999999998</v>
      </c>
      <c r="F5">
        <v>0.33660000000000001</v>
      </c>
      <c r="G5">
        <v>1.03E-2</v>
      </c>
      <c r="H5">
        <v>-0.6542</v>
      </c>
      <c r="I5">
        <v>-0.50719999999999998</v>
      </c>
    </row>
    <row r="6" spans="1:9" x14ac:dyDescent="0.2">
      <c r="A6" t="s">
        <v>42</v>
      </c>
      <c r="B6" t="s">
        <v>12</v>
      </c>
      <c r="C6" t="s">
        <v>14</v>
      </c>
      <c r="D6">
        <v>-31.6</v>
      </c>
      <c r="E6">
        <v>0.4667</v>
      </c>
      <c r="F6">
        <v>0.20949999999999999</v>
      </c>
      <c r="G6">
        <v>-0.25719999999999998</v>
      </c>
      <c r="H6">
        <v>-0.18529999999999999</v>
      </c>
      <c r="I6">
        <v>-0.34770000000000001</v>
      </c>
    </row>
    <row r="7" spans="1:9" x14ac:dyDescent="0.2">
      <c r="A7" t="s">
        <v>43</v>
      </c>
      <c r="B7" t="s">
        <v>12</v>
      </c>
      <c r="C7" t="s">
        <v>14</v>
      </c>
      <c r="D7">
        <v>-31.6</v>
      </c>
      <c r="E7">
        <v>0.42530000000000001</v>
      </c>
      <c r="F7">
        <v>0.10340000000000001</v>
      </c>
      <c r="G7">
        <v>-0.32179999999999997</v>
      </c>
      <c r="H7">
        <v>-0.27760000000000001</v>
      </c>
      <c r="I7">
        <v>-0.64870000000000005</v>
      </c>
    </row>
    <row r="8" spans="1:9" x14ac:dyDescent="0.2">
      <c r="A8" t="s">
        <v>44</v>
      </c>
      <c r="B8" t="s">
        <v>12</v>
      </c>
      <c r="C8" t="s">
        <v>14</v>
      </c>
      <c r="D8">
        <v>-31.6</v>
      </c>
      <c r="E8">
        <v>0.42859999999999998</v>
      </c>
      <c r="F8">
        <v>0.18210000000000001</v>
      </c>
      <c r="G8">
        <v>-0.24640000000000001</v>
      </c>
      <c r="H8">
        <v>-0.35870000000000002</v>
      </c>
      <c r="I8">
        <v>-0.65920000000000001</v>
      </c>
    </row>
    <row r="9" spans="1:9" x14ac:dyDescent="0.2">
      <c r="A9" t="s">
        <v>45</v>
      </c>
      <c r="B9" t="s">
        <v>12</v>
      </c>
      <c r="C9" t="s">
        <v>14</v>
      </c>
      <c r="D9">
        <v>-31.6</v>
      </c>
      <c r="E9">
        <v>0.50529999999999997</v>
      </c>
      <c r="F9">
        <v>0.30149999999999999</v>
      </c>
      <c r="G9">
        <v>-0.20380000000000001</v>
      </c>
      <c r="H9">
        <v>-9.1999999999999998E-2</v>
      </c>
      <c r="I9">
        <v>-0.48259999999999997</v>
      </c>
    </row>
    <row r="10" spans="1:9" x14ac:dyDescent="0.2">
      <c r="A10" t="s">
        <v>46</v>
      </c>
      <c r="B10" t="s">
        <v>12</v>
      </c>
      <c r="C10" t="s">
        <v>14</v>
      </c>
      <c r="D10">
        <v>-31.6</v>
      </c>
      <c r="E10">
        <v>0.52459999999999996</v>
      </c>
      <c r="F10">
        <v>0.43149999999999999</v>
      </c>
      <c r="G10">
        <v>-9.3200000000000005E-2</v>
      </c>
      <c r="H10">
        <v>-0.79390000000000005</v>
      </c>
      <c r="I10">
        <v>3.7862</v>
      </c>
    </row>
    <row r="11" spans="1:9" x14ac:dyDescent="0.2">
      <c r="A11" t="s">
        <v>47</v>
      </c>
      <c r="B11" t="s">
        <v>12</v>
      </c>
      <c r="C11" t="s">
        <v>14</v>
      </c>
      <c r="D11">
        <v>-31.6</v>
      </c>
      <c r="E11">
        <v>0.42159999999999997</v>
      </c>
      <c r="F11">
        <v>0.1857</v>
      </c>
      <c r="G11">
        <v>-0.2359</v>
      </c>
      <c r="H11">
        <v>-0.3599</v>
      </c>
      <c r="I11">
        <v>-0.65059999999999996</v>
      </c>
    </row>
    <row r="12" spans="1:9" x14ac:dyDescent="0.2">
      <c r="A12" t="s">
        <v>48</v>
      </c>
      <c r="B12" t="s">
        <v>12</v>
      </c>
      <c r="C12" t="s">
        <v>14</v>
      </c>
      <c r="D12">
        <v>-31.6</v>
      </c>
      <c r="E12">
        <v>0.42159999999999997</v>
      </c>
      <c r="F12">
        <v>0.1857</v>
      </c>
      <c r="G12">
        <v>-0.2359</v>
      </c>
      <c r="H12">
        <v>-0.3599</v>
      </c>
      <c r="I12">
        <v>-0.65059999999999996</v>
      </c>
    </row>
    <row r="13" spans="1:9" x14ac:dyDescent="0.2">
      <c r="A13" t="s">
        <v>49</v>
      </c>
      <c r="B13" t="s">
        <v>12</v>
      </c>
      <c r="C13" t="s">
        <v>14</v>
      </c>
      <c r="D13">
        <v>-31.6</v>
      </c>
      <c r="E13">
        <v>0.42199999999999999</v>
      </c>
      <c r="F13">
        <v>0.17330000000000001</v>
      </c>
      <c r="G13">
        <v>-0.2487</v>
      </c>
      <c r="H13">
        <v>-0.3548</v>
      </c>
      <c r="I13">
        <v>-0.64219999999999999</v>
      </c>
    </row>
    <row r="14" spans="1:9" x14ac:dyDescent="0.2">
      <c r="A14" t="s">
        <v>50</v>
      </c>
      <c r="B14" t="s">
        <v>12</v>
      </c>
      <c r="C14" t="s">
        <v>14</v>
      </c>
      <c r="D14">
        <v>-31.6</v>
      </c>
      <c r="E14">
        <v>0.42159999999999997</v>
      </c>
      <c r="F14">
        <v>0.1857</v>
      </c>
      <c r="G14">
        <v>-0.2359</v>
      </c>
      <c r="H14">
        <v>-0.3599</v>
      </c>
      <c r="I14">
        <v>-0.65059999999999996</v>
      </c>
    </row>
    <row r="15" spans="1:9" x14ac:dyDescent="0.2">
      <c r="A15" t="s">
        <v>51</v>
      </c>
      <c r="B15" t="s">
        <v>12</v>
      </c>
      <c r="C15" t="s">
        <v>14</v>
      </c>
      <c r="D15">
        <v>-31.6</v>
      </c>
      <c r="E15">
        <v>0.42159999999999997</v>
      </c>
      <c r="F15">
        <v>0.1857</v>
      </c>
      <c r="G15">
        <v>-0.2359</v>
      </c>
      <c r="H15">
        <v>-0.3599</v>
      </c>
      <c r="I15">
        <v>-0.65059999999999996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Tarık Ege Bilsel</cp:lastModifiedBy>
  <dcterms:created xsi:type="dcterms:W3CDTF">2026-07-31T14:27:52Z</dcterms:created>
  <dcterms:modified xsi:type="dcterms:W3CDTF">2026-07-31T19:15:42Z</dcterms:modified>
</cp:coreProperties>
</file>